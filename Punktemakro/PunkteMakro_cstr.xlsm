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TucCloud\GTK2022\Beispiele\Beispiele_GT2022\Punktemakro\"/>
    </mc:Choice>
  </mc:AlternateContent>
  <xr:revisionPtr revIDLastSave="0" documentId="13_ncr:1_{3447E6FA-5FA6-45CF-90FC-8C4B5E6607C3}" xr6:coauthVersionLast="47" xr6:coauthVersionMax="47" xr10:uidLastSave="{00000000-0000-0000-0000-000000000000}"/>
  <bookViews>
    <workbookView xWindow="28680" yWindow="-120" windowWidth="19440" windowHeight="15000" xr2:uid="{00000000-000D-0000-FFFF-FFFF00000000}"/>
  </bookViews>
  <sheets>
    <sheet name="Strandbeast" sheetId="12" r:id="rId1"/>
    <sheet name="Textilmaschine_Stellung2" sheetId="9" state="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4" i="12" l="1"/>
  <c r="I22" i="12"/>
  <c r="H9" i="12"/>
  <c r="H10" i="12"/>
  <c r="H17" i="12"/>
  <c r="H18" i="12"/>
  <c r="H25" i="12"/>
  <c r="H26" i="12"/>
  <c r="G7" i="12"/>
  <c r="I7" i="12" s="1"/>
  <c r="G8" i="12"/>
  <c r="I8" i="12" s="1"/>
  <c r="G9" i="12"/>
  <c r="I9" i="12" s="1"/>
  <c r="G10" i="12"/>
  <c r="I10" i="12" s="1"/>
  <c r="G11" i="12"/>
  <c r="I11" i="12" s="1"/>
  <c r="G12" i="12"/>
  <c r="I12" i="12" s="1"/>
  <c r="G13" i="12"/>
  <c r="I13" i="12" s="1"/>
  <c r="G14" i="12"/>
  <c r="G15" i="12"/>
  <c r="I15" i="12" s="1"/>
  <c r="G16" i="12"/>
  <c r="I16" i="12" s="1"/>
  <c r="G17" i="12"/>
  <c r="I17" i="12" s="1"/>
  <c r="G18" i="12"/>
  <c r="I18" i="12" s="1"/>
  <c r="G19" i="12"/>
  <c r="I19" i="12" s="1"/>
  <c r="G20" i="12"/>
  <c r="I20" i="12" s="1"/>
  <c r="G21" i="12"/>
  <c r="I21" i="12" s="1"/>
  <c r="G22" i="12"/>
  <c r="G23" i="12"/>
  <c r="I23" i="12" s="1"/>
  <c r="G24" i="12"/>
  <c r="I24" i="12" s="1"/>
  <c r="G25" i="12"/>
  <c r="I25" i="12" s="1"/>
  <c r="G26" i="12"/>
  <c r="I26" i="12" s="1"/>
  <c r="F4" i="12"/>
  <c r="F5" i="12"/>
  <c r="H5" i="12" s="1"/>
  <c r="F6" i="12"/>
  <c r="H6" i="12" s="1"/>
  <c r="F7" i="12"/>
  <c r="H7" i="12" s="1"/>
  <c r="F8" i="12"/>
  <c r="H8" i="12" s="1"/>
  <c r="F9" i="12"/>
  <c r="F10" i="12"/>
  <c r="F11" i="12"/>
  <c r="H11" i="12" s="1"/>
  <c r="F12" i="12"/>
  <c r="H12" i="12" s="1"/>
  <c r="F13" i="12"/>
  <c r="H13" i="12" s="1"/>
  <c r="F14" i="12"/>
  <c r="H14" i="12" s="1"/>
  <c r="F15" i="12"/>
  <c r="H15" i="12" s="1"/>
  <c r="F16" i="12"/>
  <c r="H16" i="12" s="1"/>
  <c r="F17" i="12"/>
  <c r="F18" i="12"/>
  <c r="F19" i="12"/>
  <c r="H19" i="12" s="1"/>
  <c r="F20" i="12"/>
  <c r="H20" i="12" s="1"/>
  <c r="F21" i="12"/>
  <c r="H21" i="12" s="1"/>
  <c r="F22" i="12"/>
  <c r="H22" i="12" s="1"/>
  <c r="F23" i="12"/>
  <c r="H23" i="12" s="1"/>
  <c r="F24" i="12"/>
  <c r="H24" i="12" s="1"/>
  <c r="F25" i="12"/>
  <c r="F26" i="12"/>
  <c r="F3" i="12"/>
  <c r="H3" i="12" s="1"/>
  <c r="G6" i="12"/>
  <c r="I6" i="12" s="1"/>
  <c r="G5" i="12"/>
  <c r="I5" i="12" s="1"/>
  <c r="G4" i="12"/>
  <c r="I4" i="12" s="1"/>
  <c r="H4" i="12"/>
  <c r="G3" i="12"/>
  <c r="I3" i="12" s="1"/>
  <c r="G24" i="9"/>
  <c r="I24" i="9" s="1"/>
  <c r="F24" i="9"/>
  <c r="H24" i="9" s="1"/>
  <c r="G23" i="9"/>
  <c r="I23" i="9" s="1"/>
  <c r="F23" i="9"/>
  <c r="H23" i="9" s="1"/>
  <c r="G22" i="9"/>
  <c r="I22" i="9" s="1"/>
  <c r="F22" i="9"/>
  <c r="H22" i="9" s="1"/>
  <c r="G21" i="9"/>
  <c r="I21" i="9" s="1"/>
  <c r="F21" i="9"/>
  <c r="H21" i="9" s="1"/>
  <c r="G20" i="9"/>
  <c r="I20" i="9" s="1"/>
  <c r="F20" i="9"/>
  <c r="H20" i="9" s="1"/>
  <c r="H19" i="9"/>
  <c r="G19" i="9"/>
  <c r="I19" i="9" s="1"/>
  <c r="F19" i="9"/>
  <c r="G18" i="9"/>
  <c r="I18" i="9" s="1"/>
  <c r="F18" i="9"/>
  <c r="H18" i="9" s="1"/>
  <c r="G17" i="9"/>
  <c r="I17" i="9" s="1"/>
  <c r="F17" i="9"/>
  <c r="H17" i="9" s="1"/>
  <c r="G16" i="9"/>
  <c r="I16" i="9" s="1"/>
  <c r="F16" i="9"/>
  <c r="H16" i="9" s="1"/>
  <c r="G15" i="9"/>
  <c r="I15" i="9" s="1"/>
  <c r="F15" i="9"/>
  <c r="H15" i="9" s="1"/>
  <c r="G14" i="9"/>
  <c r="I14" i="9" s="1"/>
  <c r="F14" i="9"/>
  <c r="H14" i="9" s="1"/>
  <c r="G13" i="9"/>
  <c r="I13" i="9" s="1"/>
  <c r="F13" i="9"/>
  <c r="H13" i="9" s="1"/>
  <c r="G12" i="9"/>
  <c r="I12" i="9" s="1"/>
  <c r="F12" i="9"/>
  <c r="H12" i="9" s="1"/>
  <c r="G11" i="9"/>
  <c r="I11" i="9" s="1"/>
  <c r="F11" i="9"/>
  <c r="H11" i="9" s="1"/>
  <c r="G10" i="9"/>
  <c r="I10" i="9" s="1"/>
  <c r="F10" i="9"/>
  <c r="H10" i="9" s="1"/>
  <c r="G9" i="9"/>
  <c r="I9" i="9" s="1"/>
  <c r="F9" i="9"/>
  <c r="H9" i="9" s="1"/>
  <c r="G8" i="9"/>
  <c r="I8" i="9" s="1"/>
  <c r="F8" i="9"/>
  <c r="H8" i="9" s="1"/>
  <c r="G7" i="9"/>
  <c r="I7" i="9" s="1"/>
  <c r="F7" i="9"/>
  <c r="H7" i="9" s="1"/>
  <c r="G6" i="9"/>
  <c r="I6" i="9" s="1"/>
  <c r="F6" i="9"/>
  <c r="H6" i="9" s="1"/>
  <c r="G5" i="9"/>
  <c r="I5" i="9" s="1"/>
  <c r="F5" i="9"/>
  <c r="H5" i="9" s="1"/>
  <c r="G4" i="9"/>
  <c r="I4" i="9" s="1"/>
  <c r="F4" i="9"/>
  <c r="H4" i="9" s="1"/>
  <c r="G3" i="9"/>
  <c r="I3" i="9" s="1"/>
  <c r="F3" i="9"/>
  <c r="H3" i="9" s="1"/>
  <c r="J12" i="12" a="1"/>
  <c r="J9" i="12" a="1"/>
  <c r="J14" i="12" a="1"/>
  <c r="J5" i="12" a="1"/>
  <c r="J13" i="12" a="1"/>
  <c r="J16" i="12" a="1"/>
  <c r="J6" i="12" a="1"/>
  <c r="J10" i="12" a="1"/>
  <c r="J7" i="12" a="1"/>
  <c r="J8" i="12" a="1"/>
  <c r="J11" i="12" a="1"/>
  <c r="J15" i="12" a="1"/>
  <c r="J4" i="12" a="1"/>
  <c r="J17" i="12" a="1"/>
  <c r="J21" i="9" a="1"/>
  <c r="J14" i="9" a="1"/>
  <c r="J16" i="9" a="1"/>
  <c r="J20" i="12" a="1"/>
  <c r="J19" i="9" a="1"/>
  <c r="J10" i="9" a="1"/>
  <c r="J6" i="9" a="1"/>
  <c r="J24" i="12" a="1"/>
  <c r="J19" i="12" a="1"/>
  <c r="J22" i="9" a="1"/>
  <c r="J23" i="9" a="1"/>
  <c r="J7" i="9" a="1"/>
  <c r="J3" i="9" a="1"/>
  <c r="J11" i="9" a="1"/>
  <c r="J15" i="9" a="1"/>
  <c r="J21" i="12" a="1"/>
  <c r="J18" i="12" a="1"/>
  <c r="J3" i="12" a="1"/>
  <c r="J13" i="9" a="1"/>
  <c r="J17" i="9" a="1"/>
  <c r="J23" i="12" a="1"/>
  <c r="J22" i="12" a="1"/>
  <c r="J9" i="9" a="1"/>
  <c r="J4" i="9" a="1"/>
  <c r="J26" i="12" a="1"/>
  <c r="J12" i="9" a="1"/>
  <c r="J5" i="9" a="1"/>
  <c r="J24" i="9" a="1"/>
  <c r="J25" i="12" a="1"/>
  <c r="J8" i="9" a="1"/>
  <c r="J18" i="9" a="1"/>
  <c r="J20" i="9" a="1"/>
  <c r="J4" i="12" l="1"/>
  <c r="J15" i="12"/>
  <c r="J11" i="12"/>
  <c r="J8" i="12"/>
  <c r="J7" i="12"/>
  <c r="J10" i="12"/>
  <c r="J6" i="12"/>
  <c r="J16" i="12"/>
  <c r="J13" i="12"/>
  <c r="J5" i="12"/>
  <c r="J14" i="12"/>
  <c r="J9" i="12"/>
  <c r="J12" i="12"/>
  <c r="J26" i="12"/>
  <c r="J22" i="12"/>
  <c r="J18" i="12"/>
  <c r="J19" i="12"/>
  <c r="J17" i="12"/>
  <c r="J25" i="12"/>
  <c r="J23" i="12"/>
  <c r="J21" i="12"/>
  <c r="J24" i="12"/>
  <c r="J20" i="12"/>
  <c r="J3" i="12"/>
  <c r="J5" i="9"/>
  <c r="J8" i="9"/>
  <c r="J12" i="9"/>
  <c r="J15" i="9"/>
  <c r="J19" i="9"/>
  <c r="J23" i="9"/>
  <c r="J4" i="9"/>
  <c r="J7" i="9"/>
  <c r="J11" i="9"/>
  <c r="J14" i="9"/>
  <c r="J18" i="9"/>
  <c r="J22" i="9"/>
  <c r="J3" i="9"/>
  <c r="J10" i="9"/>
  <c r="J17" i="9"/>
  <c r="J21" i="9"/>
  <c r="J6" i="9"/>
  <c r="J9" i="9"/>
  <c r="J13" i="9"/>
  <c r="J16" i="9"/>
  <c r="J20" i="9"/>
  <c r="J24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<sst xmlns="http://schemas.openxmlformats.org/spreadsheetml/2006/main" count="77" uniqueCount="38">
  <si>
    <t>Punkte</t>
  </si>
  <si>
    <t>x</t>
  </si>
  <si>
    <t>y</t>
  </si>
  <si>
    <t>A0</t>
  </si>
  <si>
    <t>B0</t>
  </si>
  <si>
    <t>C</t>
  </si>
  <si>
    <t>D</t>
  </si>
  <si>
    <t>D0</t>
  </si>
  <si>
    <t>B</t>
  </si>
  <si>
    <t>Spalte1</t>
  </si>
  <si>
    <t>A</t>
  </si>
  <si>
    <t>Skalierung:</t>
  </si>
  <si>
    <t>x skaliert</t>
  </si>
  <si>
    <t>y skaliert</t>
  </si>
  <si>
    <t>x2</t>
  </si>
  <si>
    <t>y2</t>
  </si>
  <si>
    <t>Hide?</t>
  </si>
  <si>
    <t>E</t>
  </si>
  <si>
    <t>F</t>
  </si>
  <si>
    <t>F0</t>
  </si>
  <si>
    <t>phi_an=32°</t>
  </si>
  <si>
    <t>idloc</t>
  </si>
  <si>
    <t>w</t>
  </si>
  <si>
    <t>e</t>
  </si>
  <si>
    <t>G</t>
  </si>
  <si>
    <t>Base?</t>
  </si>
  <si>
    <t>A1</t>
  </si>
  <si>
    <t>A2</t>
  </si>
  <si>
    <t>D1</t>
  </si>
  <si>
    <t>D2</t>
  </si>
  <si>
    <t>E1</t>
  </si>
  <si>
    <t>F1</t>
  </si>
  <si>
    <t>F2</t>
  </si>
  <si>
    <t>G1</t>
  </si>
  <si>
    <t>E2</t>
  </si>
  <si>
    <t>H1</t>
  </si>
  <si>
    <t>H2</t>
  </si>
  <si>
    <t>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</si>
</sst>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9">
    <xf numFmtId="0" fontId="0" fillId="0" borderId="0" xfId="0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applyNumberFormat="1"/>
    <xf numFmtId="0" fontId="0" fillId="0" borderId="1" xfId="0" applyBorder="1"/>
    <xf numFmtId="2" fontId="0" fillId="0" borderId="2" xfId="0" applyNumberFormat="1" applyBorder="1"/>
    <xf numFmtId="0" fontId="0" fillId="2" borderId="1" xfId="0" applyFill="1" applyBorder="1"/>
    <xf numFmtId="2" fontId="0" fillId="2" borderId="2" xfId="0" applyNumberFormat="1" applyFill="1" applyBorder="1"/>
  </cellXfs>
  <cellStyles count="1">
    <cellStyle name="Standard" xfId="0" builtinId="0"/>
  </cellStyles>
  <dxfs count="10">
    <dxf>
      <numFmt numFmtId="0" formatCode="General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44111A-D8CE-4DF4-8C73-6BACAE105119}" name="Tabelle142356910" displayName="Tabelle142356910" ref="A2:J26" totalsRowShown="0">
  <autoFilter ref="A2:J26" xr:uid="{17F8605A-37AB-48A3-A5F0-10514E4A8482}"/>
  <tableColumns count="10">
    <tableColumn id="1" xr3:uid="{DB020A95-F762-4C70-BEA8-B0A328C4DC38}" name="Punkte"/>
    <tableColumn id="2" xr3:uid="{E3273220-C31A-4722-9CAF-EAAB1CA06277}" name="x"/>
    <tableColumn id="3" xr3:uid="{48DFA6CA-7437-4022-B74F-972B547B5AD7}" name="y"/>
    <tableColumn id="10" xr3:uid="{5A23FDFC-8434-4A10-A093-E8EA27A432CC}" name="Base?"/>
    <tableColumn id="9" xr3:uid="{C8E33BF3-72CD-44FE-9F67-6E98A06AD4E0}" name="idloc"/>
    <tableColumn id="8" xr3:uid="{422013D5-3F66-478D-A53D-FB3B134DF45D}" name="x2" dataDxfId="9">
      <calculatedColumnFormula>Tabelle142356910[[#This Row],[x]]-0</calculatedColumnFormula>
    </tableColumn>
    <tableColumn id="7" xr3:uid="{8A000BB8-4E43-47AB-82AF-4CD1AB9CB17E}" name="y2" dataDxfId="8">
      <calculatedColumnFormula>Tabelle142356910[[#This Row],[y]]+0</calculatedColumnFormula>
    </tableColumn>
    <tableColumn id="6" xr3:uid="{FA1CBB07-CD54-4175-ACF6-BBA67E01FD27}" name="x skaliert" dataDxfId="7">
      <calculatedColumnFormula>Tabelle142356910[[#This Row],[x2]]*$B$1</calculatedColumnFormula>
    </tableColumn>
    <tableColumn id="5" xr3:uid="{71257C6E-AC37-4751-876A-82735D852A45}" name="y skaliert" dataDxfId="6">
      <calculatedColumnFormula>Tabelle142356910[[#This Row],[y2]]*$B$1</calculatedColumnFormula>
    </tableColumn>
    <tableColumn id="4" xr3:uid="{5F91D441-CA76-41FA-99B9-74E4DCE1C114}" name="Spalte1" dataDxfId="5">
      <calculatedColumnFormula array="1">toJson(Tabelle142356910[[#This Row],[Punkte]],Tabelle142356910[[#This Row],[x skaliert]],Tabelle142356910[[#This Row],[y skaliert]],Tabelle142356910[[#This Row],[Base?]],Tabelle142356910[[#This Row],[idloc]])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B1001D-8C28-428A-B934-F63FBF8EC37E}" name="Tabelle142357" displayName="Tabelle142357" ref="A2:J24" totalsRowShown="0">
  <autoFilter ref="A2:J24" xr:uid="{17F8605A-37AB-48A3-A5F0-10514E4A8482}"/>
  <tableColumns count="10">
    <tableColumn id="1" xr3:uid="{0A1A0C4B-CB1C-4BC5-A191-4CADA4C3895D}" name="Punkte"/>
    <tableColumn id="2" xr3:uid="{3A5C637C-938B-44C1-B12F-23035D1F249A}" name="x"/>
    <tableColumn id="3" xr3:uid="{23B31456-399C-4E26-BFDB-AB74BB1B96E8}" name="y"/>
    <tableColumn id="10" xr3:uid="{77B383AE-353B-42A6-888E-65E92B88AD16}" name="Hide?"/>
    <tableColumn id="9" xr3:uid="{60CE3F93-F393-48CA-9EC7-9DD3278B2CC7}" name="idloc"/>
    <tableColumn id="8" xr3:uid="{CEFCD3FB-7B62-4E69-959E-10F1815EEF9F}" name="x2" dataDxfId="4">
      <calculatedColumnFormula>Tabelle142357[[#This Row],[x]]-0</calculatedColumnFormula>
    </tableColumn>
    <tableColumn id="7" xr3:uid="{3969C23F-F2DB-4F4A-9373-DCBBB6CC32EE}" name="y2" dataDxfId="3">
      <calculatedColumnFormula>Tabelle142357[[#This Row],[y]]+0</calculatedColumnFormula>
    </tableColumn>
    <tableColumn id="6" xr3:uid="{1357B9AA-D9A7-4DC3-A3B4-1324E2DC1916}" name="x skaliert" dataDxfId="2">
      <calculatedColumnFormula>Tabelle142357[[#This Row],[x2]]*$B$1</calculatedColumnFormula>
    </tableColumn>
    <tableColumn id="5" xr3:uid="{FEE17439-A2B4-4573-B6D4-D0D284C82C5A}" name="y skaliert" dataDxfId="1">
      <calculatedColumnFormula>Tabelle142357[[#This Row],[y2]]*$B$1</calculatedColumnFormula>
    </tableColumn>
    <tableColumn id="4" xr3:uid="{716A0960-ED66-4672-9341-FAEE7A73F8B6}" name="Spalte1" dataDxfId="0">
      <calculatedColumnFormula array="1">toJson(Tabelle142357[[#This Row],[Punkte]],Tabelle142357[[#This Row],[x skaliert]],Tabelle142357[[#This Row],[y skaliert]],Tabelle142357[[#This Row],[Hide?]],Tabelle142357[[#This Row],[idloc]])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A5F72-C86A-4207-8800-D8B86365D114}">
  <sheetPr codeName="Tabelle10"/>
  <dimension ref="A1:J26"/>
  <sheetViews>
    <sheetView tabSelected="1" workbookViewId="0">
      <selection activeCell="J3" sqref="J3:J16"/>
    </sheetView>
  </sheetViews>
  <sheetFormatPr baseColWidth="10" defaultColWidth="9.140625" defaultRowHeight="15" x14ac:dyDescent="0.25"/>
  <cols>
    <col min="1" max="1" width="11.7109375" customWidth="1"/>
    <col min="2" max="2" width="11.85546875" customWidth="1"/>
    <col min="3" max="5" width="13" customWidth="1"/>
    <col min="8" max="8" width="11.85546875" customWidth="1"/>
    <col min="9" max="9" width="12" customWidth="1"/>
    <col min="10" max="10" width="62" customWidth="1"/>
  </cols>
  <sheetData>
    <row r="1" spans="1:10" x14ac:dyDescent="0.25">
      <c r="A1" t="s">
        <v>11</v>
      </c>
      <c r="B1" s="1">
        <v>2</v>
      </c>
    </row>
    <row r="2" spans="1:10" x14ac:dyDescent="0.25">
      <c r="A2" t="s">
        <v>0</v>
      </c>
      <c r="B2" t="s">
        <v>1</v>
      </c>
      <c r="C2" t="s">
        <v>2</v>
      </c>
      <c r="D2" t="s">
        <v>25</v>
      </c>
      <c r="E2" t="s">
        <v>21</v>
      </c>
      <c r="F2" t="s">
        <v>14</v>
      </c>
      <c r="G2" t="s">
        <v>15</v>
      </c>
      <c r="H2" t="s">
        <v>12</v>
      </c>
      <c r="I2" t="s">
        <v>13</v>
      </c>
      <c r="J2" t="s">
        <v>9</v>
      </c>
    </row>
    <row r="3" spans="1:10" x14ac:dyDescent="0.25">
      <c r="A3" t="s">
        <v>26</v>
      </c>
      <c r="B3">
        <v>38</v>
      </c>
      <c r="C3">
        <v>0</v>
      </c>
      <c r="D3" t="s">
        <v>1</v>
      </c>
      <c r="E3" s="3" t="s">
        <v>22</v>
      </c>
      <c r="F3" s="1">
        <f>Tabelle142356910[[#This Row],[x]]-0</f>
        <v>38</v>
      </c>
      <c r="G3" s="1">
        <f>Tabelle142356910[[#This Row],[y]]+0</f>
        <v>0</v>
      </c>
      <c r="H3" s="2">
        <f>Tabelle142356910[[#This Row],[x2]]*$B$1</f>
        <v>76</v>
      </c>
      <c r="I3" s="2">
        <f>Tabelle142356910[[#This Row],[y2]]*$B$1</f>
        <v>0</v>
      </c>
      <c r="J3" t="str" cm="1">
        <f t="array" ref="J3">toJson(Tabelle142356910[[#This Row],[Punkte]],Tabelle142356910[[#This Row],[x skaliert]],Tabelle142356910[[#This Row],[y skaliert]],Tabelle142356910[[#This Row],[Base?]],Tabelle142356910[[#This Row],[idloc]])</f>
        <v>const A1={x:76,y:0,label:"A1", lbloc: "w",base:true };</v>
      </c>
    </row>
    <row r="4" spans="1:10" x14ac:dyDescent="0.25">
      <c r="A4" t="s">
        <v>27</v>
      </c>
      <c r="B4">
        <v>-38</v>
      </c>
      <c r="C4">
        <v>0</v>
      </c>
      <c r="D4" t="s">
        <v>1</v>
      </c>
      <c r="E4" s="3" t="s">
        <v>22</v>
      </c>
      <c r="F4" s="1">
        <f>Tabelle142356910[[#This Row],[x]]-0</f>
        <v>-38</v>
      </c>
      <c r="G4" s="1">
        <f>Tabelle142356910[[#This Row],[y]]+0</f>
        <v>0</v>
      </c>
      <c r="H4" s="2">
        <f>Tabelle142356910[[#This Row],[x2]]*$B$1</f>
        <v>-76</v>
      </c>
      <c r="I4" s="2">
        <f>Tabelle142356910[[#This Row],[y2]]*$B$1</f>
        <v>0</v>
      </c>
      <c r="J4" t="str" cm="1">
        <f t="array" ref="J4">toJson(Tabelle142356910[[#This Row],[Punkte]],Tabelle142356910[[#This Row],[x skaliert]],Tabelle142356910[[#This Row],[y skaliert]],Tabelle142356910[[#This Row],[Base?]],Tabelle142356910[[#This Row],[idloc]])</f>
        <v>const A2={x:-76,y:0,label:"A2", lbloc: "w",base:true };</v>
      </c>
    </row>
    <row r="5" spans="1:10" x14ac:dyDescent="0.25">
      <c r="A5" t="s">
        <v>4</v>
      </c>
      <c r="B5">
        <v>0</v>
      </c>
      <c r="C5">
        <v>7.8</v>
      </c>
      <c r="D5" t="s">
        <v>1</v>
      </c>
      <c r="E5" s="3" t="s">
        <v>23</v>
      </c>
      <c r="F5" s="1">
        <f>Tabelle142356910[[#This Row],[x]]-0</f>
        <v>0</v>
      </c>
      <c r="G5" s="1">
        <f>Tabelle142356910[[#This Row],[y]]+0</f>
        <v>7.8</v>
      </c>
      <c r="H5" s="2">
        <f>Tabelle142356910[[#This Row],[x2]]*$B$1</f>
        <v>0</v>
      </c>
      <c r="I5" s="2">
        <f>Tabelle142356910[[#This Row],[y2]]*$B$1</f>
        <v>15.6</v>
      </c>
      <c r="J5" t="str" cm="1">
        <f t="array" ref="J5">toJson(Tabelle142356910[[#This Row],[Punkte]],Tabelle142356910[[#This Row],[x skaliert]],Tabelle142356910[[#This Row],[y skaliert]],Tabelle142356910[[#This Row],[Base?]],Tabelle142356910[[#This Row],[idloc]])</f>
        <v>const B0={x:0,y:15.6,label:"B0", lbloc: "e",base:true };</v>
      </c>
    </row>
    <row r="6" spans="1:10" x14ac:dyDescent="0.25">
      <c r="A6" t="s">
        <v>5</v>
      </c>
      <c r="B6">
        <v>15</v>
      </c>
      <c r="C6">
        <v>7.8</v>
      </c>
      <c r="E6" s="3" t="s">
        <v>23</v>
      </c>
      <c r="F6" s="1">
        <f>Tabelle142356910[[#This Row],[x]]-0</f>
        <v>15</v>
      </c>
      <c r="G6" s="1">
        <f>Tabelle142356910[[#This Row],[y]]+0</f>
        <v>7.8</v>
      </c>
      <c r="H6" s="2">
        <f>Tabelle142356910[[#This Row],[x2]]*$B$1</f>
        <v>30</v>
      </c>
      <c r="I6" s="2">
        <f>Tabelle142356910[[#This Row],[y2]]*$B$1</f>
        <v>15.6</v>
      </c>
      <c r="J6" t="str" cm="1">
        <f t="array" ref="J6">toJson(Tabelle142356910[[#This Row],[Punkte]],Tabelle142356910[[#This Row],[x skaliert]],Tabelle142356910[[#This Row],[y skaliert]],Tabelle142356910[[#This Row],[Base?]],Tabelle142356910[[#This Row],[idloc]])</f>
        <v>const C={x:30,y:15.6,label:"C", lbloc: "e"};</v>
      </c>
    </row>
    <row r="7" spans="1:10" x14ac:dyDescent="0.25">
      <c r="A7" t="s">
        <v>28</v>
      </c>
      <c r="B7">
        <v>54.93</v>
      </c>
      <c r="C7">
        <v>37.89</v>
      </c>
      <c r="E7" s="3" t="s">
        <v>23</v>
      </c>
      <c r="F7" s="1">
        <f>Tabelle142356910[[#This Row],[x]]-0</f>
        <v>54.93</v>
      </c>
      <c r="G7" s="1">
        <f>Tabelle142356910[[#This Row],[y]]+0</f>
        <v>37.89</v>
      </c>
      <c r="H7" s="2">
        <f>Tabelle142356910[[#This Row],[x2]]*$B$1</f>
        <v>109.86</v>
      </c>
      <c r="I7" s="2">
        <f>Tabelle142356910[[#This Row],[y2]]*$B$1</f>
        <v>75.78</v>
      </c>
      <c r="J7" t="str" cm="1">
        <f t="array" ref="J7">toJson(Tabelle142356910[[#This Row],[Punkte]],Tabelle142356910[[#This Row],[x skaliert]],Tabelle142356910[[#This Row],[y skaliert]],Tabelle142356910[[#This Row],[Base?]],Tabelle142356910[[#This Row],[idloc]])</f>
        <v>const D1={x:109.86,y:75.78,label:"D1", lbloc: "e"};</v>
      </c>
    </row>
    <row r="8" spans="1:10" x14ac:dyDescent="0.25">
      <c r="A8" t="s">
        <v>29</v>
      </c>
      <c r="B8">
        <v>-24.01</v>
      </c>
      <c r="C8">
        <v>39.07</v>
      </c>
      <c r="E8" s="3" t="s">
        <v>23</v>
      </c>
      <c r="F8" s="1">
        <f>Tabelle142356910[[#This Row],[x]]-0</f>
        <v>-24.01</v>
      </c>
      <c r="G8" s="1">
        <f>Tabelle142356910[[#This Row],[y]]+0</f>
        <v>39.07</v>
      </c>
      <c r="H8" s="2">
        <f>Tabelle142356910[[#This Row],[x2]]*$B$1</f>
        <v>-48.02</v>
      </c>
      <c r="I8" s="2">
        <f>Tabelle142356910[[#This Row],[y2]]*$B$1</f>
        <v>78.14</v>
      </c>
      <c r="J8" t="str" cm="1">
        <f t="array" ref="J8">toJson(Tabelle142356910[[#This Row],[Punkte]],Tabelle142356910[[#This Row],[x skaliert]],Tabelle142356910[[#This Row],[y skaliert]],Tabelle142356910[[#This Row],[Base?]],Tabelle142356910[[#This Row],[idloc]])</f>
        <v>const D2={x:-48.02,y:78.14,label:"D2", lbloc: "e"};</v>
      </c>
    </row>
    <row r="9" spans="1:10" x14ac:dyDescent="0.25">
      <c r="A9" t="s">
        <v>30</v>
      </c>
      <c r="B9">
        <v>75.599999999999994</v>
      </c>
      <c r="C9">
        <v>-13.95</v>
      </c>
      <c r="E9" s="3" t="s">
        <v>23</v>
      </c>
      <c r="F9" s="1">
        <f>Tabelle142356910[[#This Row],[x]]-0</f>
        <v>75.599999999999994</v>
      </c>
      <c r="G9" s="1">
        <f>Tabelle142356910[[#This Row],[y]]+0</f>
        <v>-13.95</v>
      </c>
      <c r="H9" s="2">
        <f>Tabelle142356910[[#This Row],[x2]]*$B$1</f>
        <v>151.19999999999999</v>
      </c>
      <c r="I9" s="2">
        <f>Tabelle142356910[[#This Row],[y2]]*$B$1</f>
        <v>-27.9</v>
      </c>
      <c r="J9" t="str" cm="1">
        <f t="array" ref="J9">toJson(Tabelle142356910[[#This Row],[Punkte]],Tabelle142356910[[#This Row],[x skaliert]],Tabelle142356910[[#This Row],[y skaliert]],Tabelle142356910[[#This Row],[Base?]],Tabelle142356910[[#This Row],[idloc]])</f>
        <v>const E1={x:151.2,y:-27.9,label:"E1", lbloc: "e"};</v>
      </c>
    </row>
    <row r="10" spans="1:10" x14ac:dyDescent="0.25">
      <c r="A10" t="s">
        <v>34</v>
      </c>
      <c r="B10">
        <v>-74.790000000000006</v>
      </c>
      <c r="C10">
        <v>15.94</v>
      </c>
      <c r="E10" s="3" t="s">
        <v>23</v>
      </c>
      <c r="F10" s="1">
        <f>Tabelle142356910[[#This Row],[x]]-0</f>
        <v>-74.790000000000006</v>
      </c>
      <c r="G10" s="1">
        <f>Tabelle142356910[[#This Row],[y]]+0</f>
        <v>15.94</v>
      </c>
      <c r="H10" s="2">
        <f>Tabelle142356910[[#This Row],[x2]]*$B$1</f>
        <v>-149.58000000000001</v>
      </c>
      <c r="I10" s="2">
        <f>Tabelle142356910[[#This Row],[y2]]*$B$1</f>
        <v>31.88</v>
      </c>
      <c r="J10" t="str" cm="1">
        <f t="array" ref="J10">toJson(Tabelle142356910[[#This Row],[Punkte]],Tabelle142356910[[#This Row],[x skaliert]],Tabelle142356910[[#This Row],[y skaliert]],Tabelle142356910[[#This Row],[Base?]],Tabelle142356910[[#This Row],[idloc]])</f>
        <v>const E2={x:-149.58,y:31.88,label:"E2", lbloc: "e"};</v>
      </c>
    </row>
    <row r="11" spans="1:10" x14ac:dyDescent="0.25">
      <c r="A11" t="s">
        <v>31</v>
      </c>
      <c r="B11">
        <v>65.319999999999993</v>
      </c>
      <c r="C11">
        <v>-28.26</v>
      </c>
      <c r="E11" s="3" t="s">
        <v>23</v>
      </c>
      <c r="F11" s="1">
        <f>Tabelle142356910[[#This Row],[x]]-0</f>
        <v>65.319999999999993</v>
      </c>
      <c r="G11" s="1">
        <f>Tabelle142356910[[#This Row],[y]]+0</f>
        <v>-28.26</v>
      </c>
      <c r="H11" s="2">
        <f>Tabelle142356910[[#This Row],[x2]]*$B$1</f>
        <v>130.63999999999999</v>
      </c>
      <c r="I11" s="2">
        <f>Tabelle142356910[[#This Row],[y2]]*$B$1</f>
        <v>-56.52</v>
      </c>
      <c r="J11" t="str" cm="1">
        <f t="array" ref="J11">toJson(Tabelle142356910[[#This Row],[Punkte]],Tabelle142356910[[#This Row],[x skaliert]],Tabelle142356910[[#This Row],[y skaliert]],Tabelle142356910[[#This Row],[Base?]],Tabelle142356910[[#This Row],[idloc]])</f>
        <v>const F1={x:130.64,y:-56.52,label:"F1", lbloc: "e"};</v>
      </c>
    </row>
    <row r="12" spans="1:10" x14ac:dyDescent="0.25">
      <c r="A12" t="s">
        <v>32</v>
      </c>
      <c r="B12">
        <v>-26.95</v>
      </c>
      <c r="C12">
        <v>-37.72</v>
      </c>
      <c r="E12" s="3" t="s">
        <v>23</v>
      </c>
      <c r="F12" s="1">
        <f>Tabelle142356910[[#This Row],[x]]-0</f>
        <v>-26.95</v>
      </c>
      <c r="G12" s="1">
        <f>Tabelle142356910[[#This Row],[y]]+0</f>
        <v>-37.72</v>
      </c>
      <c r="H12" s="2">
        <f>Tabelle142356910[[#This Row],[x2]]*$B$1</f>
        <v>-53.9</v>
      </c>
      <c r="I12" s="2">
        <f>Tabelle142356910[[#This Row],[y2]]*$B$1</f>
        <v>-75.44</v>
      </c>
      <c r="J12" t="str" cm="1">
        <f t="array" ref="J12">toJson(Tabelle142356910[[#This Row],[Punkte]],Tabelle142356910[[#This Row],[x skaliert]],Tabelle142356910[[#This Row],[y skaliert]],Tabelle142356910[[#This Row],[Base?]],Tabelle142356910[[#This Row],[idloc]])</f>
        <v>const F2={x:-53.9,y:-75.44,label:"F2", lbloc: "e"};</v>
      </c>
    </row>
    <row r="13" spans="1:10" x14ac:dyDescent="0.25">
      <c r="A13" t="s">
        <v>33</v>
      </c>
      <c r="B13">
        <v>96.76</v>
      </c>
      <c r="C13">
        <v>-47.18</v>
      </c>
      <c r="E13" s="3" t="s">
        <v>23</v>
      </c>
      <c r="F13" s="1">
        <f>Tabelle142356910[[#This Row],[x]]-0</f>
        <v>96.76</v>
      </c>
      <c r="G13" s="1">
        <f>Tabelle142356910[[#This Row],[y]]+0</f>
        <v>-47.18</v>
      </c>
      <c r="H13" s="2">
        <f>Tabelle142356910[[#This Row],[x2]]*$B$1</f>
        <v>193.52</v>
      </c>
      <c r="I13" s="2">
        <f>Tabelle142356910[[#This Row],[y2]]*$B$1</f>
        <v>-94.36</v>
      </c>
      <c r="J13" t="str" cm="1">
        <f t="array" ref="J13">toJson(Tabelle142356910[[#This Row],[Punkte]],Tabelle142356910[[#This Row],[x skaliert]],Tabelle142356910[[#This Row],[y skaliert]],Tabelle142356910[[#This Row],[Base?]],Tabelle142356910[[#This Row],[idloc]])</f>
        <v>const G1={x:193.52,y:-94.36,label:"G1", lbloc: "e"};</v>
      </c>
    </row>
    <row r="14" spans="1:10" x14ac:dyDescent="0.25">
      <c r="A14" t="s">
        <v>37</v>
      </c>
      <c r="B14">
        <v>-59.23</v>
      </c>
      <c r="C14">
        <v>-20.25</v>
      </c>
      <c r="E14" s="3" t="s">
        <v>23</v>
      </c>
      <c r="F14" s="1">
        <f>Tabelle142356910[[#This Row],[x]]-0</f>
        <v>-59.23</v>
      </c>
      <c r="G14" s="1">
        <f>Tabelle142356910[[#This Row],[y]]+0</f>
        <v>-20.25</v>
      </c>
      <c r="H14" s="2">
        <f>Tabelle142356910[[#This Row],[x2]]*$B$1</f>
        <v>-118.46</v>
      </c>
      <c r="I14" s="2">
        <f>Tabelle142356910[[#This Row],[y2]]*$B$1</f>
        <v>-40.5</v>
      </c>
      <c r="J14" t="str" cm="1">
        <f t="array" ref="J14">toJson(Tabelle142356910[[#This Row],[Punkte]],Tabelle142356910[[#This Row],[x skaliert]],Tabelle142356910[[#This Row],[y skaliert]],Tabelle142356910[[#This Row],[Base?]],Tabelle142356910[[#This Row],[idloc]])</f>
        <v>const G2={x:-118.46,y:-40.5,label:"G2", lbloc: "e"};</v>
      </c>
    </row>
    <row r="15" spans="1:10" x14ac:dyDescent="0.25">
      <c r="A15" t="s">
        <v>35</v>
      </c>
      <c r="B15">
        <v>33.729999999999997</v>
      </c>
      <c r="C15">
        <v>-65.72</v>
      </c>
      <c r="E15" s="3" t="s">
        <v>23</v>
      </c>
      <c r="F15" s="1">
        <f>Tabelle142356910[[#This Row],[x]]-0</f>
        <v>33.729999999999997</v>
      </c>
      <c r="G15" s="1">
        <f>Tabelle142356910[[#This Row],[y]]+0</f>
        <v>-65.72</v>
      </c>
      <c r="H15" s="2">
        <f>Tabelle142356910[[#This Row],[x2]]*$B$1</f>
        <v>67.459999999999994</v>
      </c>
      <c r="I15" s="2">
        <f>Tabelle142356910[[#This Row],[y2]]*$B$1</f>
        <v>-131.44</v>
      </c>
      <c r="J15" t="str" cm="1">
        <f t="array" ref="J15">toJson(Tabelle142356910[[#This Row],[Punkte]],Tabelle142356910[[#This Row],[x skaliert]],Tabelle142356910[[#This Row],[y skaliert]],Tabelle142356910[[#This Row],[Base?]],Tabelle142356910[[#This Row],[idloc]])</f>
        <v>const H1={x:67.46,y:-131.44,label:"H1", lbloc: "e"};</v>
      </c>
    </row>
    <row r="16" spans="1:10" x14ac:dyDescent="0.25">
      <c r="A16" t="s">
        <v>36</v>
      </c>
      <c r="B16">
        <v>-43.16</v>
      </c>
      <c r="C16">
        <v>-83.96</v>
      </c>
      <c r="E16" s="3" t="s">
        <v>23</v>
      </c>
      <c r="F16" s="1">
        <f>Tabelle142356910[[#This Row],[x]]-0</f>
        <v>-43.16</v>
      </c>
      <c r="G16" s="1">
        <f>Tabelle142356910[[#This Row],[y]]+0</f>
        <v>-83.96</v>
      </c>
      <c r="H16" s="2">
        <f>Tabelle142356910[[#This Row],[x2]]*$B$1</f>
        <v>-86.32</v>
      </c>
      <c r="I16" s="2">
        <f>Tabelle142356910[[#This Row],[y2]]*$B$1</f>
        <v>-167.92</v>
      </c>
      <c r="J16" t="str" cm="1">
        <f t="array" ref="J16">toJson(Tabelle142356910[[#This Row],[Punkte]],Tabelle142356910[[#This Row],[x skaliert]],Tabelle142356910[[#This Row],[y skaliert]],Tabelle142356910[[#This Row],[Base?]],Tabelle142356910[[#This Row],[idloc]])</f>
        <v>const H2={x:-86.32,y:-167.92,label:"H2", lbloc: "e"};</v>
      </c>
    </row>
    <row r="17" spans="5:10" x14ac:dyDescent="0.25">
      <c r="E17" s="3"/>
      <c r="F17" s="1">
        <f>Tabelle142356910[[#This Row],[x]]-0</f>
        <v>0</v>
      </c>
      <c r="G17" s="1">
        <f>Tabelle142356910[[#This Row],[y]]+0</f>
        <v>0</v>
      </c>
      <c r="H17" s="2">
        <f>Tabelle142356910[[#This Row],[x2]]*$B$1</f>
        <v>0</v>
      </c>
      <c r="I17" s="2">
        <f>Tabelle142356910[[#This Row],[y2]]*$B$1</f>
        <v>0</v>
      </c>
      <c r="J17" t="str" cm="1">
        <f t="array" ref="J17">toJson(Tabelle142356910[[#This Row],[Punkte]],Tabelle142356910[[#This Row],[x skaliert]],Tabelle142356910[[#This Row],[y skaliert]],Tabelle142356910[[#This Row],[Base?]],Tabelle142356910[[#This Row],[idloc]])</f>
        <v>const ={x:0,y:0,label:"", lbloc: ""};</v>
      </c>
    </row>
    <row r="18" spans="5:10" x14ac:dyDescent="0.25">
      <c r="E18" s="3"/>
      <c r="F18" s="1">
        <f>Tabelle142356910[[#This Row],[x]]-0</f>
        <v>0</v>
      </c>
      <c r="G18" s="1">
        <f>Tabelle142356910[[#This Row],[y]]+0</f>
        <v>0</v>
      </c>
      <c r="H18" s="2">
        <f>Tabelle142356910[[#This Row],[x2]]*$B$1</f>
        <v>0</v>
      </c>
      <c r="I18" s="2">
        <f>Tabelle142356910[[#This Row],[y2]]*$B$1</f>
        <v>0</v>
      </c>
      <c r="J18" t="str" cm="1">
        <f t="array" ref="J18">toJson(Tabelle142356910[[#This Row],[Punkte]],Tabelle142356910[[#This Row],[x skaliert]],Tabelle142356910[[#This Row],[y skaliert]],Tabelle142356910[[#This Row],[Base?]],Tabelle142356910[[#This Row],[idloc]])</f>
        <v>const ={x:0,y:0,label:"", lbloc: ""};</v>
      </c>
    </row>
    <row r="19" spans="5:10" x14ac:dyDescent="0.25">
      <c r="E19" s="3"/>
      <c r="F19" s="1">
        <f>Tabelle142356910[[#This Row],[x]]-0</f>
        <v>0</v>
      </c>
      <c r="G19" s="1">
        <f>Tabelle142356910[[#This Row],[y]]+0</f>
        <v>0</v>
      </c>
      <c r="H19" s="2">
        <f>Tabelle142356910[[#This Row],[x2]]*$B$1</f>
        <v>0</v>
      </c>
      <c r="I19" s="2">
        <f>Tabelle142356910[[#This Row],[y2]]*$B$1</f>
        <v>0</v>
      </c>
      <c r="J19" t="str" cm="1">
        <f t="array" ref="J19">toJson(Tabelle142356910[[#This Row],[Punkte]],Tabelle142356910[[#This Row],[x skaliert]],Tabelle142356910[[#This Row],[y skaliert]],Tabelle142356910[[#This Row],[Base?]],Tabelle142356910[[#This Row],[idloc]])</f>
        <v>const ={x:0,y:0,label:"", lbloc: ""};</v>
      </c>
    </row>
    <row r="20" spans="5:10" x14ac:dyDescent="0.25">
      <c r="E20" s="3"/>
      <c r="F20" s="1">
        <f>Tabelle142356910[[#This Row],[x]]-0</f>
        <v>0</v>
      </c>
      <c r="G20" s="1">
        <f>Tabelle142356910[[#This Row],[y]]+0</f>
        <v>0</v>
      </c>
      <c r="H20" s="2">
        <f>Tabelle142356910[[#This Row],[x2]]*$B$1</f>
        <v>0</v>
      </c>
      <c r="I20" s="2">
        <f>Tabelle142356910[[#This Row],[y2]]*$B$1</f>
        <v>0</v>
      </c>
      <c r="J20" t="str" cm="1">
        <f t="array" ref="J20">toJson(Tabelle142356910[[#This Row],[Punkte]],Tabelle142356910[[#This Row],[x skaliert]],Tabelle142356910[[#This Row],[y skaliert]],Tabelle142356910[[#This Row],[Base?]],Tabelle142356910[[#This Row],[idloc]])</f>
        <v>const ={x:0,y:0,label:"", lbloc: ""};</v>
      </c>
    </row>
    <row r="21" spans="5:10" x14ac:dyDescent="0.25">
      <c r="E21" s="3"/>
      <c r="F21" s="1">
        <f>Tabelle142356910[[#This Row],[x]]-0</f>
        <v>0</v>
      </c>
      <c r="G21" s="1">
        <f>Tabelle142356910[[#This Row],[y]]+0</f>
        <v>0</v>
      </c>
      <c r="H21" s="2">
        <f>Tabelle142356910[[#This Row],[x2]]*$B$1</f>
        <v>0</v>
      </c>
      <c r="I21" s="2">
        <f>Tabelle142356910[[#This Row],[y2]]*$B$1</f>
        <v>0</v>
      </c>
      <c r="J21" t="str" cm="1">
        <f t="array" ref="J21">toJson(Tabelle142356910[[#This Row],[Punkte]],Tabelle142356910[[#This Row],[x skaliert]],Tabelle142356910[[#This Row],[y skaliert]],Tabelle142356910[[#This Row],[Base?]],Tabelle142356910[[#This Row],[idloc]])</f>
        <v>const ={x:0,y:0,label:"", lbloc: ""};</v>
      </c>
    </row>
    <row r="22" spans="5:10" x14ac:dyDescent="0.25">
      <c r="E22" s="3"/>
      <c r="F22" s="1">
        <f>Tabelle142356910[[#This Row],[x]]-0</f>
        <v>0</v>
      </c>
      <c r="G22" s="1">
        <f>Tabelle142356910[[#This Row],[y]]+0</f>
        <v>0</v>
      </c>
      <c r="H22" s="2">
        <f>Tabelle142356910[[#This Row],[x2]]*$B$1</f>
        <v>0</v>
      </c>
      <c r="I22" s="2">
        <f>Tabelle142356910[[#This Row],[y2]]*$B$1</f>
        <v>0</v>
      </c>
      <c r="J22" t="str" cm="1">
        <f t="array" ref="J22">toJson(Tabelle142356910[[#This Row],[Punkte]],Tabelle142356910[[#This Row],[x skaliert]],Tabelle142356910[[#This Row],[y skaliert]],Tabelle142356910[[#This Row],[Base?]],Tabelle142356910[[#This Row],[idloc]])</f>
        <v>const ={x:0,y:0,label:"", lbloc: ""};</v>
      </c>
    </row>
    <row r="23" spans="5:10" x14ac:dyDescent="0.25">
      <c r="E23" s="3"/>
      <c r="F23" s="1">
        <f>Tabelle142356910[[#This Row],[x]]-0</f>
        <v>0</v>
      </c>
      <c r="G23" s="1">
        <f>Tabelle142356910[[#This Row],[y]]+0</f>
        <v>0</v>
      </c>
      <c r="H23" s="2">
        <f>Tabelle142356910[[#This Row],[x2]]*$B$1</f>
        <v>0</v>
      </c>
      <c r="I23" s="2">
        <f>Tabelle142356910[[#This Row],[y2]]*$B$1</f>
        <v>0</v>
      </c>
      <c r="J23" t="str" cm="1">
        <f t="array" ref="J23">toJson(Tabelle142356910[[#This Row],[Punkte]],Tabelle142356910[[#This Row],[x skaliert]],Tabelle142356910[[#This Row],[y skaliert]],Tabelle142356910[[#This Row],[Base?]],Tabelle142356910[[#This Row],[idloc]])</f>
        <v>const ={x:0,y:0,label:"", lbloc: ""};</v>
      </c>
    </row>
    <row r="24" spans="5:10" x14ac:dyDescent="0.25">
      <c r="E24" s="3"/>
      <c r="F24" s="1">
        <f>Tabelle142356910[[#This Row],[x]]-0</f>
        <v>0</v>
      </c>
      <c r="G24" s="1">
        <f>Tabelle142356910[[#This Row],[y]]+0</f>
        <v>0</v>
      </c>
      <c r="H24" s="2">
        <f>Tabelle142356910[[#This Row],[x2]]*$B$1</f>
        <v>0</v>
      </c>
      <c r="I24" s="2">
        <f>Tabelle142356910[[#This Row],[y2]]*$B$1</f>
        <v>0</v>
      </c>
      <c r="J24" t="str" cm="1">
        <f t="array" ref="J24">toJson(Tabelle142356910[[#This Row],[Punkte]],Tabelle142356910[[#This Row],[x skaliert]],Tabelle142356910[[#This Row],[y skaliert]],Tabelle142356910[[#This Row],[Base?]],Tabelle142356910[[#This Row],[idloc]])</f>
        <v>const ={x:0,y:0,label:"", lbloc: ""};</v>
      </c>
    </row>
    <row r="25" spans="5:10" x14ac:dyDescent="0.25">
      <c r="E25" s="3"/>
      <c r="F25" s="1">
        <f>Tabelle142356910[[#This Row],[x]]-0</f>
        <v>0</v>
      </c>
      <c r="G25" s="1">
        <f>Tabelle142356910[[#This Row],[y]]+0</f>
        <v>0</v>
      </c>
      <c r="H25" s="2">
        <f>Tabelle142356910[[#This Row],[x2]]*$B$1</f>
        <v>0</v>
      </c>
      <c r="I25" s="2">
        <f>Tabelle142356910[[#This Row],[y2]]*$B$1</f>
        <v>0</v>
      </c>
      <c r="J25" t="str" cm="1">
        <f t="array" ref="J25">toJson(Tabelle142356910[[#This Row],[Punkte]],Tabelle142356910[[#This Row],[x skaliert]],Tabelle142356910[[#This Row],[y skaliert]],Tabelle142356910[[#This Row],[Base?]],Tabelle142356910[[#This Row],[idloc]])</f>
        <v>const ={x:0,y:0,label:"", lbloc: ""};</v>
      </c>
    </row>
    <row r="26" spans="5:10" x14ac:dyDescent="0.25">
      <c r="E26" s="3"/>
      <c r="F26" s="1">
        <f>Tabelle142356910[[#This Row],[x]]-0</f>
        <v>0</v>
      </c>
      <c r="G26" s="1">
        <f>Tabelle142356910[[#This Row],[y]]+0</f>
        <v>0</v>
      </c>
      <c r="H26" s="2">
        <f>Tabelle142356910[[#This Row],[x2]]*$B$1</f>
        <v>0</v>
      </c>
      <c r="I26" s="2">
        <f>Tabelle142356910[[#This Row],[y2]]*$B$1</f>
        <v>0</v>
      </c>
      <c r="J26" t="str" cm="1">
        <f t="array" ref="J26">toJson(Tabelle142356910[[#This Row],[Punkte]],Tabelle142356910[[#This Row],[x skaliert]],Tabelle142356910[[#This Row],[y skaliert]],Tabelle142356910[[#This Row],[Base?]],Tabelle142356910[[#This Row],[idloc]])</f>
        <v>const ={x:0,y:0,label:"", lbloc: ""};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422B6-0475-420F-BB18-42D653B23FE1}">
  <sheetPr codeName="Tabelle8"/>
  <dimension ref="A1:J24"/>
  <sheetViews>
    <sheetView workbookViewId="0">
      <selection activeCell="J3" sqref="J3:J13"/>
    </sheetView>
  </sheetViews>
  <sheetFormatPr baseColWidth="10" defaultColWidth="9.140625" defaultRowHeight="15" x14ac:dyDescent="0.25"/>
  <cols>
    <col min="1" max="1" width="11.7109375" customWidth="1"/>
    <col min="2" max="2" width="11.85546875" customWidth="1"/>
    <col min="3" max="5" width="13" customWidth="1"/>
    <col min="8" max="8" width="11.85546875" customWidth="1"/>
    <col min="9" max="9" width="12" customWidth="1"/>
    <col min="10" max="10" width="62" customWidth="1"/>
  </cols>
  <sheetData>
    <row r="1" spans="1:10" x14ac:dyDescent="0.25">
      <c r="A1" t="s">
        <v>11</v>
      </c>
      <c r="B1" s="1">
        <v>1.5</v>
      </c>
      <c r="D1" t="s">
        <v>20</v>
      </c>
    </row>
    <row r="2" spans="1:10" x14ac:dyDescent="0.25">
      <c r="A2" t="s">
        <v>0</v>
      </c>
      <c r="B2" t="s">
        <v>1</v>
      </c>
      <c r="C2" t="s">
        <v>2</v>
      </c>
      <c r="D2" t="s">
        <v>16</v>
      </c>
      <c r="E2" t="s">
        <v>21</v>
      </c>
      <c r="F2" t="s">
        <v>14</v>
      </c>
      <c r="G2" t="s">
        <v>15</v>
      </c>
      <c r="H2" t="s">
        <v>12</v>
      </c>
      <c r="I2" t="s">
        <v>13</v>
      </c>
      <c r="J2" t="s">
        <v>9</v>
      </c>
    </row>
    <row r="3" spans="1:10" x14ac:dyDescent="0.25">
      <c r="A3" t="s">
        <v>3</v>
      </c>
      <c r="B3">
        <v>0</v>
      </c>
      <c r="C3">
        <v>0</v>
      </c>
      <c r="D3" s="3"/>
      <c r="E3" s="3" t="s">
        <v>22</v>
      </c>
      <c r="F3" s="1">
        <f>Tabelle142357[[#This Row],[x]]-0</f>
        <v>0</v>
      </c>
      <c r="G3" s="1">
        <f>Tabelle142357[[#This Row],[y]]+0</f>
        <v>0</v>
      </c>
      <c r="H3" s="2">
        <f>Tabelle142357[[#This Row],[x2]]*$B$1</f>
        <v>0</v>
      </c>
      <c r="I3" s="2">
        <f>Tabelle142357[[#This Row],[y2]]*$B$1</f>
        <v>0</v>
      </c>
      <c r="J3" t="str" cm="1">
        <f t="array" ref="J3">toJson(Tabelle142357[[#This Row],[Punkte]],Tabelle142357[[#This Row],[x skaliert]],Tabelle142357[[#This Row],[y skaliert]],Tabelle142357[[#This Row],[Hide?]],Tabelle142357[[#This Row],[idloc]])</f>
        <v>const A0={x:0,y:0,label:"A0", lbloc: "w",base:true };</v>
      </c>
    </row>
    <row r="4" spans="1:10" x14ac:dyDescent="0.25">
      <c r="A4" t="s">
        <v>10</v>
      </c>
      <c r="B4">
        <v>19.285679999999999</v>
      </c>
      <c r="C4">
        <v>-5.2974199999999998</v>
      </c>
      <c r="D4" s="3"/>
      <c r="E4" s="3" t="s">
        <v>22</v>
      </c>
      <c r="F4" s="1">
        <f>Tabelle142357[[#This Row],[x]]-0</f>
        <v>19.285679999999999</v>
      </c>
      <c r="G4" s="1">
        <f>Tabelle142357[[#This Row],[y]]+0</f>
        <v>-5.2974199999999998</v>
      </c>
      <c r="H4" s="2">
        <f>Tabelle142357[[#This Row],[x2]]*$B$1</f>
        <v>28.928519999999999</v>
      </c>
      <c r="I4" s="2">
        <f>Tabelle142357[[#This Row],[y2]]*$B$1</f>
        <v>-7.9461300000000001</v>
      </c>
      <c r="J4" t="str" cm="1">
        <f t="array" ref="J4">toJson(Tabelle142357[[#This Row],[Punkte]],Tabelle142357[[#This Row],[x skaliert]],Tabelle142357[[#This Row],[y skaliert]],Tabelle142357[[#This Row],[Hide?]],Tabelle142357[[#This Row],[idloc]])</f>
        <v>const A={x:28.92852,y:-7.94613,label:"A", lbloc: "w"};</v>
      </c>
    </row>
    <row r="5" spans="1:10" x14ac:dyDescent="0.25">
      <c r="A5" t="s">
        <v>4</v>
      </c>
      <c r="B5">
        <v>125.6</v>
      </c>
      <c r="C5">
        <v>-34.5</v>
      </c>
      <c r="D5" s="3"/>
      <c r="E5" s="3" t="s">
        <v>23</v>
      </c>
      <c r="F5" s="1">
        <f>Tabelle142357[[#This Row],[x]]-0</f>
        <v>125.6</v>
      </c>
      <c r="G5" s="1">
        <f>Tabelle142357[[#This Row],[y]]+0</f>
        <v>-34.5</v>
      </c>
      <c r="H5" s="2">
        <f>Tabelle142357[[#This Row],[x2]]*$B$1</f>
        <v>188.39999999999998</v>
      </c>
      <c r="I5" s="2">
        <f>Tabelle142357[[#This Row],[y2]]*$B$1</f>
        <v>-51.75</v>
      </c>
      <c r="J5" s="4" t="str" cm="1">
        <f t="array" ref="J5">toJson(Tabelle142357[[#This Row],[Punkte]],Tabelle142357[[#This Row],[x skaliert]],Tabelle142357[[#This Row],[y skaliert]],Tabelle142357[[#This Row],[Hide?]],Tabelle142357[[#This Row],[idloc]])</f>
        <v>const B0={x:188.4,y:-51.75,label:"B0", lbloc: "e",base:true };</v>
      </c>
    </row>
    <row r="6" spans="1:10" x14ac:dyDescent="0.25">
      <c r="A6" t="s">
        <v>8</v>
      </c>
      <c r="B6">
        <v>118.12291999999999</v>
      </c>
      <c r="C6">
        <v>36.147019999999998</v>
      </c>
      <c r="D6" s="3"/>
      <c r="E6" s="3" t="s">
        <v>23</v>
      </c>
      <c r="F6" s="1">
        <f>Tabelle142357[[#This Row],[x]]-0</f>
        <v>118.12291999999999</v>
      </c>
      <c r="G6" s="1">
        <f>Tabelle142357[[#This Row],[y]]+0</f>
        <v>36.147019999999998</v>
      </c>
      <c r="H6" s="2">
        <f>Tabelle142357[[#This Row],[x2]]*$B$1</f>
        <v>177.18437999999998</v>
      </c>
      <c r="I6" s="2">
        <f>Tabelle142357[[#This Row],[y2]]*$B$1</f>
        <v>54.220529999999997</v>
      </c>
      <c r="J6" t="str" cm="1">
        <f t="array" ref="J6">toJson(Tabelle142357[[#This Row],[Punkte]],Tabelle142357[[#This Row],[x skaliert]],Tabelle142357[[#This Row],[y skaliert]],Tabelle142357[[#This Row],[Hide?]],Tabelle142357[[#This Row],[idloc]])</f>
        <v>const B={x:177.18438,y:54.22053,label:"B", lbloc: "e"};</v>
      </c>
    </row>
    <row r="7" spans="1:10" x14ac:dyDescent="0.25">
      <c r="A7" t="s">
        <v>5</v>
      </c>
      <c r="B7">
        <v>22.074000000000002</v>
      </c>
      <c r="C7">
        <v>93.664349999999999</v>
      </c>
      <c r="D7" s="3"/>
      <c r="E7" s="3" t="s">
        <v>23</v>
      </c>
      <c r="F7" s="1">
        <f>Tabelle142357[[#This Row],[x]]-0</f>
        <v>22.074000000000002</v>
      </c>
      <c r="G7" s="1">
        <f>Tabelle142357[[#This Row],[y]]+0</f>
        <v>93.664349999999999</v>
      </c>
      <c r="H7" s="2">
        <f>Tabelle142357[[#This Row],[x2]]*$B$1</f>
        <v>33.111000000000004</v>
      </c>
      <c r="I7" s="2">
        <f>Tabelle142357[[#This Row],[y2]]*$B$1</f>
        <v>140.49652499999999</v>
      </c>
      <c r="J7" t="str" cm="1">
        <f t="array" ref="J7">toJson(Tabelle142357[[#This Row],[Punkte]],Tabelle142357[[#This Row],[x skaliert]],Tabelle142357[[#This Row],[y skaliert]],Tabelle142357[[#This Row],[Hide?]],Tabelle142357[[#This Row],[idloc]])</f>
        <v>const C={x:33.111,y:140.496525,label:"C", lbloc: "e"};</v>
      </c>
    </row>
    <row r="8" spans="1:10" x14ac:dyDescent="0.25">
      <c r="A8" t="s">
        <v>6</v>
      </c>
      <c r="B8">
        <v>64.505499999999998</v>
      </c>
      <c r="C8">
        <v>44.593559999999997</v>
      </c>
      <c r="D8" s="3"/>
      <c r="E8" s="3" t="s">
        <v>23</v>
      </c>
      <c r="F8" s="1">
        <f>Tabelle142357[[#This Row],[x]]-0</f>
        <v>64.505499999999998</v>
      </c>
      <c r="G8" s="1">
        <f>Tabelle142357[[#This Row],[y]]+0</f>
        <v>44.593559999999997</v>
      </c>
      <c r="H8" s="2">
        <f>Tabelle142357[[#This Row],[x2]]*$B$1</f>
        <v>96.758250000000004</v>
      </c>
      <c r="I8" s="2">
        <f>Tabelle142357[[#This Row],[y2]]*$B$1</f>
        <v>66.890339999999995</v>
      </c>
      <c r="J8" t="str" cm="1">
        <f t="array" ref="J8">toJson(Tabelle142357[[#This Row],[Punkte]],Tabelle142357[[#This Row],[x skaliert]],Tabelle142357[[#This Row],[y skaliert]],Tabelle142357[[#This Row],[Hide?]],Tabelle142357[[#This Row],[idloc]])</f>
        <v>const D={x:96.75825,y:66.89034,label:"D", lbloc: "e"};</v>
      </c>
    </row>
    <row r="9" spans="1:10" x14ac:dyDescent="0.25">
      <c r="A9" t="s">
        <v>7</v>
      </c>
      <c r="B9">
        <v>105.8</v>
      </c>
      <c r="C9">
        <v>144</v>
      </c>
      <c r="D9" s="3"/>
      <c r="E9" s="3" t="s">
        <v>23</v>
      </c>
      <c r="F9" s="1">
        <f>Tabelle142357[[#This Row],[x]]-0</f>
        <v>105.8</v>
      </c>
      <c r="G9" s="1">
        <f>Tabelle142357[[#This Row],[y]]+0</f>
        <v>144</v>
      </c>
      <c r="H9" s="2">
        <f>Tabelle142357[[#This Row],[x2]]*$B$1</f>
        <v>158.69999999999999</v>
      </c>
      <c r="I9" s="2">
        <f>Tabelle142357[[#This Row],[y2]]*$B$1</f>
        <v>216</v>
      </c>
      <c r="J9" t="str" cm="1">
        <f t="array" ref="J9">toJson(Tabelle142357[[#This Row],[Punkte]],Tabelle142357[[#This Row],[x skaliert]],Tabelle142357[[#This Row],[y skaliert]],Tabelle142357[[#This Row],[Hide?]],Tabelle142357[[#This Row],[idloc]])</f>
        <v>const D0={x:158.7,y:216,label:"D0", lbloc: "e",base:true };</v>
      </c>
    </row>
    <row r="10" spans="1:10" x14ac:dyDescent="0.25">
      <c r="A10" t="s">
        <v>17</v>
      </c>
      <c r="B10">
        <v>3.09856</v>
      </c>
      <c r="C10">
        <v>136.07584</v>
      </c>
      <c r="D10" s="1"/>
      <c r="E10" s="3" t="s">
        <v>22</v>
      </c>
      <c r="F10" s="1">
        <f>Tabelle142357[[#This Row],[x]]-0</f>
        <v>3.09856</v>
      </c>
      <c r="G10" s="1">
        <f>Tabelle142357[[#This Row],[y]]+0</f>
        <v>136.07584</v>
      </c>
      <c r="H10" s="1">
        <f>Tabelle142357[[#This Row],[x2]]*$B$1</f>
        <v>4.6478400000000004</v>
      </c>
      <c r="I10" s="1">
        <f>Tabelle142357[[#This Row],[y2]]*$B$1</f>
        <v>204.11376000000001</v>
      </c>
      <c r="J10" t="str" cm="1">
        <f t="array" ref="J10">toJson(Tabelle142357[[#This Row],[Punkte]],Tabelle142357[[#This Row],[x skaliert]],Tabelle142357[[#This Row],[y skaliert]],Tabelle142357[[#This Row],[Hide?]],Tabelle142357[[#This Row],[idloc]])</f>
        <v>const E={x:4.64784,y:204.11376,label:"E", lbloc: "w"};</v>
      </c>
    </row>
    <row r="11" spans="1:10" x14ac:dyDescent="0.25">
      <c r="A11" t="s">
        <v>18</v>
      </c>
      <c r="B11">
        <v>3.09856</v>
      </c>
      <c r="C11">
        <v>276.75</v>
      </c>
      <c r="D11" s="1"/>
      <c r="E11" s="3" t="s">
        <v>23</v>
      </c>
      <c r="F11" s="1">
        <f>Tabelle142357[[#This Row],[x]]-0</f>
        <v>3.09856</v>
      </c>
      <c r="G11" s="1">
        <f>Tabelle142357[[#This Row],[y]]+0</f>
        <v>276.75</v>
      </c>
      <c r="H11" s="1">
        <f>Tabelle142357[[#This Row],[x2]]*$B$1</f>
        <v>4.6478400000000004</v>
      </c>
      <c r="I11" s="1">
        <f>Tabelle142357[[#This Row],[y2]]*$B$1</f>
        <v>415.125</v>
      </c>
      <c r="J11" t="str" cm="1">
        <f t="array" ref="J11">toJson(Tabelle142357[[#This Row],[Punkte]],Tabelle142357[[#This Row],[x skaliert]],Tabelle142357[[#This Row],[y skaliert]],Tabelle142357[[#This Row],[Hide?]],Tabelle142357[[#This Row],[idloc]])</f>
        <v>const F={x:4.64784,y:415.125,label:"F", lbloc: "e"};</v>
      </c>
    </row>
    <row r="12" spans="1:10" x14ac:dyDescent="0.25">
      <c r="A12" s="5" t="s">
        <v>19</v>
      </c>
      <c r="B12" s="6">
        <v>3.09856</v>
      </c>
      <c r="C12" s="6">
        <v>290</v>
      </c>
      <c r="D12" s="1" t="s">
        <v>1</v>
      </c>
      <c r="E12" s="3" t="s">
        <v>23</v>
      </c>
      <c r="F12" s="1">
        <f>Tabelle142357[[#This Row],[x]]-0</f>
        <v>3.09856</v>
      </c>
      <c r="G12" s="1">
        <f>Tabelle142357[[#This Row],[y]]+0</f>
        <v>290</v>
      </c>
      <c r="H12" s="1">
        <f>Tabelle142357[[#This Row],[x2]]*$B$1</f>
        <v>4.6478400000000004</v>
      </c>
      <c r="I12" s="1">
        <f>Tabelle142357[[#This Row],[y2]]*$B$1</f>
        <v>435</v>
      </c>
      <c r="J12" t="str" cm="1">
        <f t="array" ref="J12">toJson(Tabelle142357[[#This Row],[Punkte]],Tabelle142357[[#This Row],[x skaliert]],Tabelle142357[[#This Row],[y skaliert]],Tabelle142357[[#This Row],[Hide?]],Tabelle142357[[#This Row],[idloc]])</f>
        <v>const F0={x:4.64784,y:435,label:"F0", lbloc: "e",base:true };</v>
      </c>
    </row>
    <row r="13" spans="1:10" x14ac:dyDescent="0.25">
      <c r="A13" s="7" t="s">
        <v>24</v>
      </c>
      <c r="B13" s="8">
        <v>-22</v>
      </c>
      <c r="C13" s="8">
        <v>361.87</v>
      </c>
      <c r="D13" s="1"/>
      <c r="E13" s="1" t="s">
        <v>22</v>
      </c>
      <c r="F13" s="1">
        <f>Tabelle142357[[#This Row],[x]]-0</f>
        <v>-22</v>
      </c>
      <c r="G13" s="1">
        <f>Tabelle142357[[#This Row],[y]]+0</f>
        <v>361.87</v>
      </c>
      <c r="H13" s="1">
        <f>Tabelle142357[[#This Row],[x2]]*$B$1</f>
        <v>-33</v>
      </c>
      <c r="I13" s="1">
        <f>Tabelle142357[[#This Row],[y2]]*$B$1</f>
        <v>542.80500000000006</v>
      </c>
      <c r="J13" t="str" cm="1">
        <f t="array" ref="J13">toJson(Tabelle142357[[#This Row],[Punkte]],Tabelle142357[[#This Row],[x skaliert]],Tabelle142357[[#This Row],[y skaliert]],Tabelle142357[[#This Row],[Hide?]],Tabelle142357[[#This Row],[idloc]])</f>
        <v>const G={x:-33,y:542.805,label:"G", lbloc: "w"};</v>
      </c>
    </row>
    <row r="14" spans="1:10" x14ac:dyDescent="0.25">
      <c r="B14" s="1"/>
      <c r="C14" s="1"/>
      <c r="D14" s="1"/>
      <c r="E14" s="1"/>
      <c r="F14" s="1">
        <f>Tabelle142357[[#This Row],[x]]-0</f>
        <v>0</v>
      </c>
      <c r="G14" s="1">
        <f>Tabelle142357[[#This Row],[y]]+0</f>
        <v>0</v>
      </c>
      <c r="H14" s="1">
        <f>Tabelle142357[[#This Row],[x2]]*$B$1</f>
        <v>0</v>
      </c>
      <c r="I14" s="1">
        <f>Tabelle142357[[#This Row],[y2]]*$B$1</f>
        <v>0</v>
      </c>
      <c r="J14" t="str" cm="1">
        <f t="array" ref="J14">toJson(Tabelle142357[[#This Row],[Punkte]],Tabelle142357[[#This Row],[x skaliert]],Tabelle142357[[#This Row],[y skaliert]],Tabelle142357[[#This Row],[Hide?]],Tabelle142357[[#This Row],[idloc]])</f>
        <v>const ={x:0,y:0,label:"", lbloc: ""};</v>
      </c>
    </row>
    <row r="15" spans="1:10" x14ac:dyDescent="0.25">
      <c r="B15" s="1"/>
      <c r="C15" s="1"/>
      <c r="D15" s="1"/>
      <c r="E15" s="1"/>
      <c r="F15" s="1">
        <f>Tabelle142357[[#This Row],[x]]-0</f>
        <v>0</v>
      </c>
      <c r="G15" s="1">
        <f>Tabelle142357[[#This Row],[y]]+0</f>
        <v>0</v>
      </c>
      <c r="H15" s="1">
        <f>Tabelle142357[[#This Row],[x2]]*$B$1</f>
        <v>0</v>
      </c>
      <c r="I15" s="1">
        <f>Tabelle142357[[#This Row],[y2]]*$B$1</f>
        <v>0</v>
      </c>
      <c r="J15" t="str" cm="1">
        <f t="array" ref="J15">toJson(Tabelle142357[[#This Row],[Punkte]],Tabelle142357[[#This Row],[x skaliert]],Tabelle142357[[#This Row],[y skaliert]],Tabelle142357[[#This Row],[Hide?]],Tabelle142357[[#This Row],[idloc]])</f>
        <v>const ={x:0,y:0,label:"", lbloc: ""};</v>
      </c>
    </row>
    <row r="16" spans="1:10" x14ac:dyDescent="0.25">
      <c r="B16" s="1"/>
      <c r="C16" s="1"/>
      <c r="D16" s="1"/>
      <c r="E16" s="1"/>
      <c r="F16" s="1">
        <f>Tabelle142357[[#This Row],[x]]-0</f>
        <v>0</v>
      </c>
      <c r="G16" s="1">
        <f>Tabelle142357[[#This Row],[y]]+0</f>
        <v>0</v>
      </c>
      <c r="H16" s="1">
        <f>Tabelle142357[[#This Row],[x2]]*$B$1</f>
        <v>0</v>
      </c>
      <c r="I16" s="1">
        <f>Tabelle142357[[#This Row],[y2]]*$B$1</f>
        <v>0</v>
      </c>
      <c r="J16" t="str" cm="1">
        <f t="array" ref="J16">toJson(Tabelle142357[[#This Row],[Punkte]],Tabelle142357[[#This Row],[x skaliert]],Tabelle142357[[#This Row],[y skaliert]],Tabelle142357[[#This Row],[Hide?]],Tabelle142357[[#This Row],[idloc]])</f>
        <v>const ={x:0,y:0,label:"", lbloc: ""};</v>
      </c>
    </row>
    <row r="17" spans="6:10" x14ac:dyDescent="0.25">
      <c r="F17" s="1">
        <f>Tabelle142357[[#This Row],[x]]-0</f>
        <v>0</v>
      </c>
      <c r="G17" s="1">
        <f>Tabelle142357[[#This Row],[y]]+0</f>
        <v>0</v>
      </c>
      <c r="H17" s="1">
        <f>Tabelle142357[[#This Row],[x2]]*$B$1</f>
        <v>0</v>
      </c>
      <c r="I17" s="1">
        <f>Tabelle142357[[#This Row],[y2]]*$B$1</f>
        <v>0</v>
      </c>
      <c r="J17" t="str" cm="1">
        <f t="array" ref="J17">toJson(Tabelle142357[[#This Row],[Punkte]],Tabelle142357[[#This Row],[x skaliert]],Tabelle142357[[#This Row],[y skaliert]],Tabelle142357[[#This Row],[Hide?]],Tabelle142357[[#This Row],[idloc]])</f>
        <v>const ={x:0,y:0,label:"", lbloc: ""};</v>
      </c>
    </row>
    <row r="18" spans="6:10" x14ac:dyDescent="0.25">
      <c r="F18" s="1">
        <f>Tabelle142357[[#This Row],[x]]-0</f>
        <v>0</v>
      </c>
      <c r="G18" s="1">
        <f>Tabelle142357[[#This Row],[y]]+0</f>
        <v>0</v>
      </c>
      <c r="H18" s="1">
        <f>Tabelle142357[[#This Row],[x2]]*$B$1</f>
        <v>0</v>
      </c>
      <c r="I18" s="1">
        <f>Tabelle142357[[#This Row],[y2]]*$B$1</f>
        <v>0</v>
      </c>
      <c r="J18" t="str" cm="1">
        <f t="array" ref="J18">toJson(Tabelle142357[[#This Row],[Punkte]],Tabelle142357[[#This Row],[x skaliert]],Tabelle142357[[#This Row],[y skaliert]],Tabelle142357[[#This Row],[Hide?]],Tabelle142357[[#This Row],[idloc]])</f>
        <v>const ={x:0,y:0,label:"", lbloc: ""};</v>
      </c>
    </row>
    <row r="19" spans="6:10" x14ac:dyDescent="0.25">
      <c r="F19" s="1">
        <f>Tabelle142357[[#This Row],[x]]-0</f>
        <v>0</v>
      </c>
      <c r="G19" s="1">
        <f>Tabelle142357[[#This Row],[y]]+0</f>
        <v>0</v>
      </c>
      <c r="H19" s="1">
        <f>Tabelle142357[[#This Row],[x2]]*$B$1</f>
        <v>0</v>
      </c>
      <c r="I19" s="1">
        <f>Tabelle142357[[#This Row],[y2]]*$B$1</f>
        <v>0</v>
      </c>
      <c r="J19" t="str" cm="1">
        <f t="array" ref="J19">toJson(Tabelle142357[[#This Row],[Punkte]],Tabelle142357[[#This Row],[x skaliert]],Tabelle142357[[#This Row],[y skaliert]],Tabelle142357[[#This Row],[Hide?]],Tabelle142357[[#This Row],[idloc]])</f>
        <v>const ={x:0,y:0,label:"", lbloc: ""};</v>
      </c>
    </row>
    <row r="20" spans="6:10" x14ac:dyDescent="0.25">
      <c r="F20" s="1">
        <f>Tabelle142357[[#This Row],[x]]-0</f>
        <v>0</v>
      </c>
      <c r="G20" s="1">
        <f>Tabelle142357[[#This Row],[y]]+0</f>
        <v>0</v>
      </c>
      <c r="H20" s="1">
        <f>Tabelle142357[[#This Row],[x2]]*$B$1</f>
        <v>0</v>
      </c>
      <c r="I20" s="1">
        <f>Tabelle142357[[#This Row],[y2]]*$B$1</f>
        <v>0</v>
      </c>
      <c r="J20" t="str" cm="1">
        <f t="array" ref="J20">toJson(Tabelle142357[[#This Row],[Punkte]],Tabelle142357[[#This Row],[x skaliert]],Tabelle142357[[#This Row],[y skaliert]],Tabelle142357[[#This Row],[Hide?]],Tabelle142357[[#This Row],[idloc]])</f>
        <v>const ={x:0,y:0,label:"", lbloc: ""};</v>
      </c>
    </row>
    <row r="21" spans="6:10" x14ac:dyDescent="0.25">
      <c r="F21" s="1">
        <f>Tabelle142357[[#This Row],[x]]-0</f>
        <v>0</v>
      </c>
      <c r="G21" s="1">
        <f>Tabelle142357[[#This Row],[y]]+0</f>
        <v>0</v>
      </c>
      <c r="H21" s="1">
        <f>Tabelle142357[[#This Row],[x2]]*$B$1</f>
        <v>0</v>
      </c>
      <c r="I21" s="1">
        <f>Tabelle142357[[#This Row],[y2]]*$B$1</f>
        <v>0</v>
      </c>
      <c r="J21" t="str" cm="1">
        <f t="array" ref="J21">toJson(Tabelle142357[[#This Row],[Punkte]],Tabelle142357[[#This Row],[x skaliert]],Tabelle142357[[#This Row],[y skaliert]],Tabelle142357[[#This Row],[Hide?]],Tabelle142357[[#This Row],[idloc]])</f>
        <v>const ={x:0,y:0,label:"", lbloc: ""};</v>
      </c>
    </row>
    <row r="22" spans="6:10" x14ac:dyDescent="0.25">
      <c r="F22" s="1">
        <f>Tabelle142357[[#This Row],[x]]-0</f>
        <v>0</v>
      </c>
      <c r="G22" s="1">
        <f>Tabelle142357[[#This Row],[y]]+0</f>
        <v>0</v>
      </c>
      <c r="H22" s="1">
        <f>Tabelle142357[[#This Row],[x2]]*$B$1</f>
        <v>0</v>
      </c>
      <c r="I22" s="1">
        <f>Tabelle142357[[#This Row],[y2]]*$B$1</f>
        <v>0</v>
      </c>
      <c r="J22" t="str" cm="1">
        <f t="array" ref="J22">toJson(Tabelle142357[[#This Row],[Punkte]],Tabelle142357[[#This Row],[x skaliert]],Tabelle142357[[#This Row],[y skaliert]],Tabelle142357[[#This Row],[Hide?]],Tabelle142357[[#This Row],[idloc]])</f>
        <v>const ={x:0,y:0,label:"", lbloc: ""};</v>
      </c>
    </row>
    <row r="23" spans="6:10" x14ac:dyDescent="0.25">
      <c r="F23" s="1">
        <f>Tabelle142357[[#This Row],[x]]-0</f>
        <v>0</v>
      </c>
      <c r="G23" s="1">
        <f>Tabelle142357[[#This Row],[y]]+0</f>
        <v>0</v>
      </c>
      <c r="H23" s="1">
        <f>Tabelle142357[[#This Row],[x2]]*$B$1</f>
        <v>0</v>
      </c>
      <c r="I23" s="1">
        <f>Tabelle142357[[#This Row],[y2]]*$B$1</f>
        <v>0</v>
      </c>
      <c r="J23" t="str" cm="1">
        <f t="array" ref="J23">toJson(Tabelle142357[[#This Row],[Punkte]],Tabelle142357[[#This Row],[x skaliert]],Tabelle142357[[#This Row],[y skaliert]],Tabelle142357[[#This Row],[Hide?]],Tabelle142357[[#This Row],[idloc]])</f>
        <v>const ={x:0,y:0,label:"", lbloc: ""};</v>
      </c>
    </row>
    <row r="24" spans="6:10" x14ac:dyDescent="0.25">
      <c r="F24" s="1">
        <f>Tabelle142357[[#This Row],[x]]-0</f>
        <v>0</v>
      </c>
      <c r="G24" s="1">
        <f>Tabelle142357[[#This Row],[y]]+0</f>
        <v>0</v>
      </c>
      <c r="H24" s="1">
        <f>Tabelle142357[[#This Row],[x2]]*$B$1</f>
        <v>0</v>
      </c>
      <c r="I24" s="1">
        <f>Tabelle142357[[#This Row],[y2]]*$B$1</f>
        <v>0</v>
      </c>
      <c r="J24" t="str" cm="1">
        <f t="array" ref="J24">toJson(Tabelle142357[[#This Row],[Punkte]],Tabelle142357[[#This Row],[x skaliert]],Tabelle142357[[#This Row],[y skaliert]],Tabelle142357[[#This Row],[Hide?]],Tabelle142357[[#This Row],[idloc]])</f>
        <v>const ={x:0,y:0,label:"", lbloc: ""};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Strandbeast</vt:lpstr>
      <vt:lpstr>Textilmaschine_Stellung2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Schnabel</dc:creator>
  <cp:lastModifiedBy>Pascal</cp:lastModifiedBy>
  <dcterms:created xsi:type="dcterms:W3CDTF">2015-06-05T18:19:34Z</dcterms:created>
  <dcterms:modified xsi:type="dcterms:W3CDTF">2022-05-28T10:46:11Z</dcterms:modified>
</cp:coreProperties>
</file>